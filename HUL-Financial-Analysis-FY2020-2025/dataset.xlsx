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201a5ef1dea0a0d4/Desktop/"/>
    </mc:Choice>
  </mc:AlternateContent>
  <xr:revisionPtr revIDLastSave="551" documentId="8_{42419666-0E22-42E4-AFB9-9A40930C70D4}" xr6:coauthVersionLast="47" xr6:coauthVersionMax="47" xr10:uidLastSave="{A2A8A208-7ACB-4344-A647-EEBA785B629C}"/>
  <bookViews>
    <workbookView xWindow="-108" yWindow="-108" windowWidth="23256" windowHeight="12456" activeTab="2" xr2:uid="{AEF12853-0BE8-4D92-9E48-CE1A33B74378}"/>
  </bookViews>
  <sheets>
    <sheet name="Summary" sheetId="4" r:id="rId1"/>
    <sheet name="Financial Data" sheetId="2" r:id="rId2"/>
    <sheet name="Ratio Analysis" sheetId="3" r:id="rId3"/>
  </sheets>
  <definedNames>
    <definedName name="_xlnm.Print_Area" localSheetId="1">'Financial Data'!$D$1:$N$68</definedName>
    <definedName name="_xlnm.Print_Area" localSheetId="2">'Ratio Analysis'!$D$6:$K$119</definedName>
    <definedName name="_xlnm.Print_Area" localSheetId="0">Summary!$F$6:$N$32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3" i="3" l="1"/>
  <c r="G84" i="3" s="1"/>
  <c r="F82" i="3"/>
  <c r="F81" i="3"/>
  <c r="F80" i="3"/>
  <c r="G80" i="3" s="1"/>
  <c r="F79" i="3"/>
  <c r="G79" i="3" s="1"/>
  <c r="F78" i="3"/>
  <c r="G64" i="3"/>
  <c r="F64" i="3"/>
  <c r="G63" i="3"/>
  <c r="H63" i="3" s="1"/>
  <c r="F63" i="3"/>
  <c r="G48" i="3"/>
  <c r="H48" i="3" s="1"/>
  <c r="F48" i="3"/>
  <c r="F47" i="3"/>
  <c r="G33" i="3"/>
  <c r="F33" i="3"/>
  <c r="H33" i="3" s="1"/>
  <c r="G32" i="3"/>
  <c r="F32" i="3"/>
  <c r="H15" i="3"/>
  <c r="I61" i="2"/>
  <c r="I60" i="2"/>
  <c r="I11" i="2"/>
  <c r="I10" i="2"/>
  <c r="I9" i="2"/>
  <c r="H14" i="3" s="1"/>
  <c r="I14" i="2"/>
  <c r="I13" i="2"/>
  <c r="I12" i="2"/>
  <c r="H32" i="3" l="1"/>
  <c r="G81" i="3"/>
  <c r="H64" i="3"/>
  <c r="G82" i="3"/>
  <c r="G47" i="3"/>
  <c r="H47" i="3" s="1"/>
  <c r="G83" i="3"/>
</calcChain>
</file>

<file path=xl/sharedStrings.xml><?xml version="1.0" encoding="utf-8"?>
<sst xmlns="http://schemas.openxmlformats.org/spreadsheetml/2006/main" count="65" uniqueCount="46">
  <si>
    <t>F</t>
  </si>
  <si>
    <t>Year</t>
  </si>
  <si>
    <t>Total Assets</t>
  </si>
  <si>
    <t>Equity</t>
  </si>
  <si>
    <t>Total Revenue</t>
  </si>
  <si>
    <t>Total Revenue(In Cr)</t>
  </si>
  <si>
    <t>Total Assets(In Cr)</t>
  </si>
  <si>
    <t>Total Debt(In Cr)</t>
  </si>
  <si>
    <t>Total Equity(In Cr)</t>
  </si>
  <si>
    <t>Why there is a sudden Increase of approx  40,000 Cr in FY-2021 in Hindustan Unilever ?</t>
  </si>
  <si>
    <t>A significant increase in the total asset base of Hindustan Unilever was observed in FY-2021. Total assets increased from ₹20,153 crore in FY-2020 to ₹68,740 crore in FY-2021. This sharp increase was mainly due to the recognition of intangible assets, which rose from ₹511 crore to ₹45,262 crore. The increase reflects the capitalization of brand-related assets and restructuring activities within the company.</t>
  </si>
  <si>
    <t>Asset Composition:</t>
  </si>
  <si>
    <t>% of Intangible Assets</t>
  </si>
  <si>
    <t>Intangible Assets(In Cr)</t>
  </si>
  <si>
    <t>Ratio Analysis:</t>
  </si>
  <si>
    <t>Interpretation:</t>
  </si>
  <si>
    <t>In FY-2020, the Debt-to-Equity ratio of Hindustan Unilever was 1.44, indicating a relatively higher reliance on debt financing. Over the years, the ratio declined to 0.62 in FY-2025, reflecting a stronger equity base and improved financial stability. The decline in the ratio indicates that the company has reduced its relative dependence on debt and maintained a healthier capital structure. The improvement in the ratio was mainly driven by a significant increase in the company’s equity base after FY-2021, which strengthened the overall balance sheet.</t>
  </si>
  <si>
    <t>FY-2020</t>
  </si>
  <si>
    <t>FY-2025</t>
  </si>
  <si>
    <t>Debt</t>
  </si>
  <si>
    <t>Debt-To-Equity:</t>
  </si>
  <si>
    <t>Debt/Equity Ratio</t>
  </si>
  <si>
    <t>Asset Turnover Ratio:</t>
  </si>
  <si>
    <t>Total Revenue/Total Assets Ratio</t>
  </si>
  <si>
    <t>The Asset Turnover Ratio of Hindustan Unilever decreased from 1.97 in FY-2020 to 0.79 in FY-2025, indicating lower asset utilization efficiency. The decline is primarily due to a significant increase in the company’s asset base, particularly intangible assets, without a proportional increase in revenue.</t>
  </si>
  <si>
    <t>Debt Ratio:</t>
  </si>
  <si>
    <t>Total Debt</t>
  </si>
  <si>
    <t>Total Debt/Total Assets Ratio</t>
  </si>
  <si>
    <t>The Debt Ratio of Hindustan Unilever indicates the proportion of the company’s assets financed through borrowings. A moderate debt ratio suggests that the company maintains a balanced capital structure without excessive reliance on debt. Over the years, although total debt increased, the company continued to maintain a stable asset base, indicating controlled financial risk and responsible leverage management.</t>
  </si>
  <si>
    <t>Equity Ratio:</t>
  </si>
  <si>
    <t>Total Equity</t>
  </si>
  <si>
    <t>Total Equity/Total Assets Ratio</t>
  </si>
  <si>
    <t>The Equity Ratio of Hindustan Unilever reflects the proportion of assets financed through shareholders’ equity. A higher equity ratio indicates stronger financial stability and lower dependence on external borrowings. The company maintains a strong equity base, suggesting a stable financial structure and greater protection for creditors and investors.</t>
  </si>
  <si>
    <t>Revenue Growth Ratio:</t>
  </si>
  <si>
    <t>Revenue</t>
  </si>
  <si>
    <t>Growth</t>
  </si>
  <si>
    <t>-</t>
  </si>
  <si>
    <t>The revenue of Hindustan Unilever increased steadily from FY-2020 to FY-2025, showing an overall growth of about 58.6%. This indicates strong business expansion, stable product demand, and effective market presence in the FMCG industry.</t>
  </si>
  <si>
    <t>Overall growth from 2020 to 2025</t>
  </si>
  <si>
    <t>Key Insights:</t>
  </si>
  <si>
    <r>
      <rPr>
        <b/>
        <sz val="11"/>
        <color theme="1"/>
        <rFont val="Aptos Narrow"/>
        <family val="2"/>
        <scheme val="minor"/>
      </rPr>
      <t>1.</t>
    </r>
    <r>
      <rPr>
        <sz val="11"/>
        <color theme="1"/>
        <rFont val="Aptos Narrow"/>
        <family val="2"/>
        <scheme val="minor"/>
      </rPr>
      <t xml:space="preserve"> Revenue increased by 58.6% from FY-2020 to FY-2025, showing steady business growth.
</t>
    </r>
    <r>
      <rPr>
        <b/>
        <sz val="11"/>
        <color theme="1"/>
        <rFont val="Aptos Narrow"/>
        <family val="2"/>
        <scheme val="minor"/>
      </rPr>
      <t>2.</t>
    </r>
    <r>
      <rPr>
        <sz val="11"/>
        <color theme="1"/>
        <rFont val="Aptos Narrow"/>
        <family val="2"/>
        <scheme val="minor"/>
      </rPr>
      <t xml:space="preserve"> Asset base increased significantly due to recognition of intangible assets in FY-2021.
</t>
    </r>
    <r>
      <rPr>
        <b/>
        <sz val="11"/>
        <color theme="1"/>
        <rFont val="Aptos Narrow"/>
        <family val="2"/>
        <scheme val="minor"/>
      </rPr>
      <t>3.</t>
    </r>
    <r>
      <rPr>
        <sz val="11"/>
        <color theme="1"/>
        <rFont val="Aptos Narrow"/>
        <family val="2"/>
        <scheme val="minor"/>
      </rPr>
      <t xml:space="preserve"> Debt-to-Equity ratio improved from 1.44 to 0.62, indicating stronger financial stability.
</t>
    </r>
    <r>
      <rPr>
        <b/>
        <sz val="11"/>
        <color theme="1"/>
        <rFont val="Aptos Narrow"/>
        <family val="2"/>
        <scheme val="minor"/>
      </rPr>
      <t>4.</t>
    </r>
    <r>
      <rPr>
        <sz val="11"/>
        <color theme="1"/>
        <rFont val="Aptos Narrow"/>
        <family val="2"/>
        <scheme val="minor"/>
      </rPr>
      <t xml:space="preserve"> Asset turnover declined as asset growth was higher than revenue growth.</t>
    </r>
  </si>
  <si>
    <t>Reason:</t>
  </si>
  <si>
    <t>Financial Performance and Ratio Analysis of Hindustan Unilever (FY 2020–FY 2025)</t>
  </si>
  <si>
    <t>This project analyzes the financial performance of Hindustan Unilever from FY-2020 to FY-2025 using key financial ratios and revenue trend analysis. The study evaluates important financial indicators such as Debt-to-Equity Ratio, Asset Turnover Ratio, Debt Ratio, Equity Ratio, and Revenue Growth to understand the company’s financial stability and operational efficiency.
The financial data used for the analysis was collected from Screener.in and organized using Microsoft Excel to perform calculations, create tables, and analyze financial trends over the period.</t>
  </si>
  <si>
    <t>Data Source: Screener.in – Publicly available financial statements.</t>
  </si>
  <si>
    <t>Financial Perfromance of Hindustan Unilever of FY 2020-FY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</si>
</sst>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theme="1"/>
      <name val="Aptos Narrow"/>
      <family val="2"/>
      <scheme val="minor"/>
    </font>
    <font>
      <sz val="18"/>
      <color theme="1"/>
      <name val="Aptos Narrow"/>
      <family val="2"/>
      <scheme val="minor"/>
    </font>
    <font>
      <b/>
      <sz val="18"/>
      <color theme="1"/>
      <name val="Aptos Narrow"/>
      <family val="2"/>
      <scheme val="minor"/>
    </font>
    <font>
      <b/>
      <sz val="16"/>
      <color theme="1"/>
      <name val="Aptos Narrow"/>
      <family val="2"/>
      <scheme val="minor"/>
    </font>
    <font>
      <u/>
      <sz val="16"/>
      <color theme="1"/>
      <name val="Aptos Narrow"/>
      <family val="2"/>
      <scheme val="minor"/>
    </font>
    <font>
      <u/>
      <sz val="11"/>
      <color theme="1"/>
      <name val="Aptos Narrow"/>
      <family val="2"/>
      <scheme val="minor"/>
    </font>
    <font>
      <sz val="9"/>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0" xfId="0" applyAlignment="1">
      <alignment horizontal="left" vertical="top" wrapText="1"/>
    </xf>
    <xf numFmtId="44" fontId="0" fillId="0" borderId="0" xfId="0" applyNumberFormat="1"/>
    <xf numFmtId="17" fontId="0" fillId="0" borderId="0" xfId="0" applyNumberFormat="1" applyAlignment="1">
      <alignment horizontal="center"/>
    </xf>
    <xf numFmtId="44" fontId="0" fillId="0" borderId="0" xfId="0" applyNumberFormat="1" applyAlignment="1">
      <alignment horizontal="center"/>
    </xf>
    <xf numFmtId="0" fontId="2" fillId="0" borderId="0" xfId="0" applyFont="1"/>
    <xf numFmtId="44" fontId="0" fillId="0" borderId="1" xfId="0" applyNumberFormat="1" applyBorder="1"/>
    <xf numFmtId="0" fontId="0" fillId="0" borderId="1" xfId="0" applyBorder="1" applyAlignment="1">
      <alignment horizontal="center"/>
    </xf>
    <xf numFmtId="10" fontId="0" fillId="0" borderId="1" xfId="0" applyNumberFormat="1" applyBorder="1" applyAlignment="1">
      <alignment horizontal="center"/>
    </xf>
    <xf numFmtId="44" fontId="0" fillId="0" borderId="1" xfId="0" applyNumberFormat="1" applyBorder="1" applyAlignment="1">
      <alignment horizontal="center"/>
    </xf>
    <xf numFmtId="0" fontId="0" fillId="0" borderId="1" xfId="0" applyBorder="1" applyAlignment="1">
      <alignment horizontal="center" vertical="top" wrapText="1"/>
    </xf>
    <xf numFmtId="44" fontId="0" fillId="0" borderId="1" xfId="1" applyFon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5"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vertical="top"/>
    </xf>
    <xf numFmtId="0" fontId="5" fillId="0" borderId="0" xfId="0" applyFont="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xf>
    <xf numFmtId="0" fontId="0" fillId="0" borderId="1" xfId="0" applyBorder="1" applyAlignment="1">
      <alignment horizontal="center" vertical="top" wrapText="1"/>
    </xf>
    <xf numFmtId="0" fontId="2" fillId="0" borderId="0" xfId="0" applyFont="1" applyAlignment="1">
      <alignment horizontal="left"/>
    </xf>
    <xf numFmtId="0" fontId="0" fillId="0" borderId="0" xfId="0" applyAlignment="1">
      <alignment horizontal="left"/>
    </xf>
    <xf numFmtId="0" fontId="7" fillId="0" borderId="4" xfId="0" applyFont="1" applyBorder="1" applyAlignment="1">
      <alignment horizontal="left" vertical="top"/>
    </xf>
    <xf numFmtId="0" fontId="8" fillId="0" borderId="0" xfId="0" applyFont="1" applyAlignment="1">
      <alignment horizontal="left" vertical="top" wrapText="1"/>
    </xf>
    <xf numFmtId="0" fontId="9" fillId="0" borderId="1" xfId="0" applyFont="1" applyBorder="1" applyAlignment="1">
      <alignment horizontal="center"/>
    </xf>
    <xf numFmtId="0" fontId="0" fillId="0" borderId="1" xfId="0" applyBorder="1" applyAlignment="1">
      <alignment horizontal="center"/>
    </xf>
    <xf numFmtId="0" fontId="2" fillId="0" borderId="0" xfId="0" applyFont="1" applyAlignment="1">
      <alignment horizontal="left" vertical="top"/>
    </xf>
    <xf numFmtId="0" fontId="0" fillId="0" borderId="0" xfId="0"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 in Crores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Data'!$G$8</c:f>
              <c:strCache>
                <c:ptCount val="1"/>
                <c:pt idx="0">
                  <c:v>Total Revenue(In Cr)</c:v>
                </c:pt>
              </c:strCache>
            </c:strRef>
          </c:tx>
          <c:spPr>
            <a:solidFill>
              <a:schemeClr val="accent1"/>
            </a:solidFill>
            <a:ln>
              <a:noFill/>
            </a:ln>
            <a:effectLst/>
          </c:spPr>
          <c:invertIfNegative val="0"/>
          <c:cat>
            <c:numRef>
              <c:f>'Financial Data'!$F$9:$F$14</c:f>
              <c:numCache>
                <c:formatCode>General</c:formatCode>
                <c:ptCount val="6"/>
                <c:pt idx="0">
                  <c:v>2020</c:v>
                </c:pt>
                <c:pt idx="1">
                  <c:v>2021</c:v>
                </c:pt>
                <c:pt idx="2">
                  <c:v>2022</c:v>
                </c:pt>
                <c:pt idx="3">
                  <c:v>2023</c:v>
                </c:pt>
                <c:pt idx="4">
                  <c:v>2024</c:v>
                </c:pt>
                <c:pt idx="5">
                  <c:v>2025</c:v>
                </c:pt>
              </c:numCache>
            </c:numRef>
          </c:cat>
          <c:val>
            <c:numRef>
              <c:f>'Financial Data'!$G$9:$G$14</c:f>
              <c:numCache>
                <c:formatCode>_("₹"* #,##0.00_);_("₹"* \(#,##0.00\);_("₹"* "-"??_);_(@_)</c:formatCode>
                <c:ptCount val="6"/>
                <c:pt idx="0">
                  <c:v>39783</c:v>
                </c:pt>
                <c:pt idx="1">
                  <c:v>47028</c:v>
                </c:pt>
                <c:pt idx="2">
                  <c:v>52446</c:v>
                </c:pt>
                <c:pt idx="3">
                  <c:v>60580</c:v>
                </c:pt>
                <c:pt idx="4">
                  <c:v>61896</c:v>
                </c:pt>
                <c:pt idx="5">
                  <c:v>63121</c:v>
                </c:pt>
              </c:numCache>
            </c:numRef>
          </c:val>
          <c:extLst>
            <c:ext xmlns:c16="http://schemas.microsoft.com/office/drawing/2014/chart" uri="{C3380CC4-5D6E-409C-BE32-E72D297353CC}">
              <c16:uniqueId val="{00000000-C0B8-47CD-9F99-DF5911277E59}"/>
            </c:ext>
          </c:extLst>
        </c:ser>
        <c:dLbls>
          <c:showLegendKey val="0"/>
          <c:showVal val="0"/>
          <c:showCatName val="0"/>
          <c:showSerName val="0"/>
          <c:showPercent val="0"/>
          <c:showBubbleSize val="0"/>
        </c:dLbls>
        <c:gapWidth val="219"/>
        <c:overlap val="-27"/>
        <c:axId val="1032390240"/>
        <c:axId val="1032388320"/>
      </c:barChart>
      <c:catAx>
        <c:axId val="103239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88320"/>
        <c:crosses val="autoZero"/>
        <c:auto val="1"/>
        <c:lblAlgn val="ctr"/>
        <c:lblOffset val="100"/>
        <c:noMultiLvlLbl val="0"/>
      </c:catAx>
      <c:valAx>
        <c:axId val="1032388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Rupess in Cr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90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a:t>
            </a:r>
            <a:r>
              <a:rPr lang="en-IN" baseline="0"/>
              <a:t> vs Equity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'Financial Data'!$I$8</c:f>
              <c:strCache>
                <c:ptCount val="1"/>
                <c:pt idx="0">
                  <c:v>Total Debt(In Cr)</c:v>
                </c:pt>
              </c:strCache>
            </c:strRef>
          </c:tx>
          <c:spPr>
            <a:solidFill>
              <a:schemeClr val="accent1"/>
            </a:solidFill>
            <a:ln>
              <a:noFill/>
            </a:ln>
            <a:effectLst/>
          </c:spPr>
          <c:invertIfNegative val="0"/>
          <c:cat>
            <c:numRef>
              <c:f>'Financial Data'!$F$9:$F$14</c:f>
              <c:numCache>
                <c:formatCode>General</c:formatCode>
                <c:ptCount val="6"/>
                <c:pt idx="0">
                  <c:v>2020</c:v>
                </c:pt>
                <c:pt idx="1">
                  <c:v>2021</c:v>
                </c:pt>
                <c:pt idx="2">
                  <c:v>2022</c:v>
                </c:pt>
                <c:pt idx="3">
                  <c:v>2023</c:v>
                </c:pt>
                <c:pt idx="4">
                  <c:v>2024</c:v>
                </c:pt>
                <c:pt idx="5">
                  <c:v>2025</c:v>
                </c:pt>
              </c:numCache>
            </c:numRef>
          </c:cat>
          <c:val>
            <c:numRef>
              <c:f>'Financial Data'!$I$9:$I$14</c:f>
              <c:numCache>
                <c:formatCode>_("₹"* #,##0.00_);_("₹"* \(#,##0.00\);_("₹"* "-"??_);_(@_)</c:formatCode>
                <c:ptCount val="6"/>
                <c:pt idx="0">
                  <c:v>11924</c:v>
                </c:pt>
                <c:pt idx="1">
                  <c:v>21066</c:v>
                </c:pt>
                <c:pt idx="2">
                  <c:v>21445</c:v>
                </c:pt>
                <c:pt idx="3">
                  <c:v>22773</c:v>
                </c:pt>
                <c:pt idx="4">
                  <c:v>27271</c:v>
                </c:pt>
                <c:pt idx="5">
                  <c:v>30461</c:v>
                </c:pt>
              </c:numCache>
            </c:numRef>
          </c:val>
          <c:extLst>
            <c:ext xmlns:c16="http://schemas.microsoft.com/office/drawing/2014/chart" uri="{C3380CC4-5D6E-409C-BE32-E72D297353CC}">
              <c16:uniqueId val="{00000000-C4DF-4FCD-AFDD-DCB644592985}"/>
            </c:ext>
          </c:extLst>
        </c:ser>
        <c:ser>
          <c:idx val="1"/>
          <c:order val="1"/>
          <c:tx>
            <c:strRef>
              <c:f>'Financial Data'!$J$8</c:f>
              <c:strCache>
                <c:ptCount val="1"/>
                <c:pt idx="0">
                  <c:v>Total Equity(In Cr)</c:v>
                </c:pt>
              </c:strCache>
            </c:strRef>
          </c:tx>
          <c:spPr>
            <a:solidFill>
              <a:schemeClr val="accent2"/>
            </a:solidFill>
            <a:ln>
              <a:noFill/>
            </a:ln>
            <a:effectLst/>
          </c:spPr>
          <c:invertIfNegative val="0"/>
          <c:cat>
            <c:numRef>
              <c:f>'Financial Data'!$F$9:$F$14</c:f>
              <c:numCache>
                <c:formatCode>General</c:formatCode>
                <c:ptCount val="6"/>
                <c:pt idx="0">
                  <c:v>2020</c:v>
                </c:pt>
                <c:pt idx="1">
                  <c:v>2021</c:v>
                </c:pt>
                <c:pt idx="2">
                  <c:v>2022</c:v>
                </c:pt>
                <c:pt idx="3">
                  <c:v>2023</c:v>
                </c:pt>
                <c:pt idx="4">
                  <c:v>2024</c:v>
                </c:pt>
                <c:pt idx="5">
                  <c:v>2025</c:v>
                </c:pt>
              </c:numCache>
            </c:numRef>
          </c:cat>
          <c:val>
            <c:numRef>
              <c:f>'Financial Data'!$J$9:$J$14</c:f>
              <c:numCache>
                <c:formatCode>_("₹"* #,##0.00_);_("₹"* \(#,##0.00\);_("₹"* "-"??_);_(@_)</c:formatCode>
                <c:ptCount val="6"/>
                <c:pt idx="0">
                  <c:v>8229</c:v>
                </c:pt>
                <c:pt idx="1">
                  <c:v>47674</c:v>
                </c:pt>
                <c:pt idx="2">
                  <c:v>49061</c:v>
                </c:pt>
                <c:pt idx="3">
                  <c:v>50304</c:v>
                </c:pt>
                <c:pt idx="4">
                  <c:v>51218</c:v>
                </c:pt>
                <c:pt idx="5">
                  <c:v>49402</c:v>
                </c:pt>
              </c:numCache>
            </c:numRef>
          </c:val>
          <c:extLst>
            <c:ext xmlns:c16="http://schemas.microsoft.com/office/drawing/2014/chart" uri="{C3380CC4-5D6E-409C-BE32-E72D297353CC}">
              <c16:uniqueId val="{00000001-C4DF-4FCD-AFDD-DCB644592985}"/>
            </c:ext>
          </c:extLst>
        </c:ser>
        <c:dLbls>
          <c:showLegendKey val="0"/>
          <c:showVal val="0"/>
          <c:showCatName val="0"/>
          <c:showSerName val="0"/>
          <c:showPercent val="0"/>
          <c:showBubbleSize val="0"/>
        </c:dLbls>
        <c:gapWidth val="219"/>
        <c:overlap val="-27"/>
        <c:axId val="1032415200"/>
        <c:axId val="1032362880"/>
      </c:barChart>
      <c:catAx>
        <c:axId val="10324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62880"/>
        <c:crosses val="autoZero"/>
        <c:auto val="1"/>
        <c:lblAlgn val="ctr"/>
        <c:lblOffset val="100"/>
        <c:noMultiLvlLbl val="0"/>
      </c:catAx>
      <c:valAx>
        <c:axId val="1032362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1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Data'!$H$8</c:f>
              <c:strCache>
                <c:ptCount val="1"/>
                <c:pt idx="0">
                  <c:v>Total Assets(In Cr)</c:v>
                </c:pt>
              </c:strCache>
            </c:strRef>
          </c:tx>
          <c:spPr>
            <a:solidFill>
              <a:schemeClr val="accent1"/>
            </a:solidFill>
            <a:ln>
              <a:noFill/>
            </a:ln>
            <a:effectLst/>
          </c:spPr>
          <c:invertIfNegative val="0"/>
          <c:cat>
            <c:numRef>
              <c:f>'Financial Data'!$F$9:$F$10</c:f>
              <c:numCache>
                <c:formatCode>General</c:formatCode>
                <c:ptCount val="2"/>
                <c:pt idx="0">
                  <c:v>2020</c:v>
                </c:pt>
                <c:pt idx="1">
                  <c:v>2021</c:v>
                </c:pt>
              </c:numCache>
            </c:numRef>
          </c:cat>
          <c:val>
            <c:numRef>
              <c:f>'Financial Data'!$H$9:$H$10</c:f>
              <c:numCache>
                <c:formatCode>_("₹"* #,##0.00_);_("₹"* \(#,##0.00\);_("₹"* "-"??_);_(@_)</c:formatCode>
                <c:ptCount val="2"/>
                <c:pt idx="0">
                  <c:v>20153</c:v>
                </c:pt>
                <c:pt idx="1">
                  <c:v>68740</c:v>
                </c:pt>
              </c:numCache>
            </c:numRef>
          </c:val>
          <c:extLst>
            <c:ext xmlns:c16="http://schemas.microsoft.com/office/drawing/2014/chart" uri="{C3380CC4-5D6E-409C-BE32-E72D297353CC}">
              <c16:uniqueId val="{00000000-221D-4FA5-9A6D-E87183371F50}"/>
            </c:ext>
          </c:extLst>
        </c:ser>
        <c:dLbls>
          <c:showLegendKey val="0"/>
          <c:showVal val="0"/>
          <c:showCatName val="0"/>
          <c:showSerName val="0"/>
          <c:showPercent val="0"/>
          <c:showBubbleSize val="0"/>
        </c:dLbls>
        <c:gapWidth val="219"/>
        <c:overlap val="-27"/>
        <c:axId val="1032357600"/>
        <c:axId val="1032358560"/>
      </c:barChart>
      <c:catAx>
        <c:axId val="10323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58560"/>
        <c:crosses val="autoZero"/>
        <c:auto val="1"/>
        <c:lblAlgn val="ctr"/>
        <c:lblOffset val="100"/>
        <c:noMultiLvlLbl val="0"/>
      </c:catAx>
      <c:valAx>
        <c:axId val="10323585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5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'Ratio Analysis'!$F$77</c:f>
              <c:strCache>
                <c:ptCount val="1"/>
                <c:pt idx="0">
                  <c:v>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layout>
                <c:manualLayout>
                  <c:x val="-7.7593991827790074E-2"/>
                  <c:y val="8.8951977605580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95-4A9B-B797-0D7997C0175A}"/>
                </c:ext>
              </c:extLst>
            </c:dLbl>
            <c:dLbl>
              <c:idx val="1"/>
              <c:layout>
                <c:manualLayout>
                  <c:x val="-0.10948387244047761"/>
                  <c:y val="-9.488210944595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95-4A9B-B797-0D7997C0175A}"/>
                </c:ext>
              </c:extLst>
            </c:dLbl>
            <c:dLbl>
              <c:idx val="2"/>
              <c:layout>
                <c:manualLayout>
                  <c:x val="-5.440135138219919E-2"/>
                  <c:y val="7.1161582084464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95-4A9B-B797-0D7997C0175A}"/>
                </c:ext>
              </c:extLst>
            </c:dLbl>
            <c:dLbl>
              <c:idx val="3"/>
              <c:layout>
                <c:manualLayout>
                  <c:x val="-0.14717191316456274"/>
                  <c:y val="-8.8951977605580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95-4A9B-B797-0D7997C0175A}"/>
                </c:ext>
              </c:extLst>
            </c:dLbl>
            <c:dLbl>
              <c:idx val="4"/>
              <c:layout>
                <c:manualLayout>
                  <c:x val="-7.1795831716392353E-2"/>
                  <c:y val="0.106742373126697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95-4A9B-B797-0D7997C0175A}"/>
                </c:ext>
              </c:extLst>
            </c:dLbl>
            <c:dLbl>
              <c:idx val="5"/>
              <c:layout>
                <c:manualLayout>
                  <c:x val="-2.1677357499943036E-2"/>
                  <c:y val="-0.136393032328557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95-4A9B-B797-0D7997C017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'Ratio Analysis'!$E$78:$E$83</c:f>
              <c:numCache>
                <c:formatCode>General</c:formatCode>
                <c:ptCount val="6"/>
                <c:pt idx="0">
                  <c:v>2020</c:v>
                </c:pt>
                <c:pt idx="1">
                  <c:v>2021</c:v>
                </c:pt>
                <c:pt idx="2">
                  <c:v>2022</c:v>
                </c:pt>
                <c:pt idx="3">
                  <c:v>2023</c:v>
                </c:pt>
                <c:pt idx="4">
                  <c:v>2024</c:v>
                </c:pt>
                <c:pt idx="5">
                  <c:v>2025</c:v>
                </c:pt>
              </c:numCache>
            </c:numRef>
          </c:cat>
          <c:val>
            <c:numRef>
              <c:f>'Ratio Analysis'!$F$78:$F$83</c:f>
              <c:numCache>
                <c:formatCode>_("₹"* #,##0.00_);_("₹"* \(#,##0.00\);_("₹"* "-"??_);_(@_)</c:formatCode>
                <c:ptCount val="6"/>
                <c:pt idx="0">
                  <c:v>39783</c:v>
                </c:pt>
                <c:pt idx="1">
                  <c:v>47028</c:v>
                </c:pt>
                <c:pt idx="2">
                  <c:v>52446</c:v>
                </c:pt>
                <c:pt idx="3">
                  <c:v>60580</c:v>
                </c:pt>
                <c:pt idx="4">
                  <c:v>61896</c:v>
                </c:pt>
                <c:pt idx="5">
                  <c:v>63121</c:v>
                </c:pt>
              </c:numCache>
            </c:numRef>
          </c:val>
          <c:smooth val="0"/>
          <c:extLst>
            <c:ext xmlns:c16="http://schemas.microsoft.com/office/drawing/2014/chart" uri="{C3380CC4-5D6E-409C-BE32-E72D297353CC}">
              <c16:uniqueId val="{00000000-FD95-4A9B-B797-0D7997C0175A}"/>
            </c:ext>
          </c:extLst>
        </c:ser>
        <c:dLbls>
          <c:dLblPos val="ctr"/>
          <c:showLegendKey val="0"/>
          <c:showVal val="1"/>
          <c:showCatName val="0"/>
          <c:showSerName val="0"/>
          <c:showPercent val="0"/>
          <c:showBubbleSize val="0"/>
        </c:dLbls>
        <c:smooth val="0"/>
        <c:axId val="55611439"/>
        <c:axId val="55612879"/>
      </c:lineChart>
      <c:catAx>
        <c:axId val="55611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612879"/>
        <c:crosses val="autoZero"/>
        <c:auto val="1"/>
        <c:lblAlgn val="ctr"/>
        <c:lblOffset val="100"/>
        <c:noMultiLvlLbl val="0"/>
      </c:catAx>
      <c:valAx>
        <c:axId val="55612879"/>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6114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259404</xdr:colOff>
      <xdr:row>17</xdr:row>
      <xdr:rowOff>11793</xdr:rowOff>
    </xdr:from>
    <xdr:to>
      <xdr:col>7</xdr:col>
      <xdr:colOff>1088571</xdr:colOff>
      <xdr:row>29</xdr:row>
      <xdr:rowOff>9071</xdr:rowOff>
    </xdr:to>
    <xdr:graphicFrame macro="">
      <xdr:nvGraphicFramePr>
        <xdr:cNvPr id="2" name="Chart 1">
          <a:extLst>
            <a:ext uri="{FF2B5EF4-FFF2-40B4-BE49-F238E27FC236}">
              <a16:creationId xmlns:a16="http://schemas.microsoft.com/office/drawing/2014/main" id="{250B891F-82AA-6CD3-DA29-0BB38956C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238126</xdr:colOff>
      <xdr:row>17</xdr:row>
      <xdr:rowOff>2005</xdr:rowOff>
    </xdr:from>
    <xdr:to>
      <xdr:col>11</xdr:col>
      <xdr:colOff>726908</xdr:colOff>
      <xdr:row>28</xdr:row>
      <xdr:rowOff>35093</xdr:rowOff>
    </xdr:to>
    <xdr:graphicFrame macro="">
      <xdr:nvGraphicFramePr>
        <xdr:cNvPr id="3" name="Chart 2">
          <a:extLst>
            <a:ext uri="{FF2B5EF4-FFF2-40B4-BE49-F238E27FC236}">
              <a16:creationId xmlns:a16="http://schemas.microsoft.com/office/drawing/2014/main" id="{970A9542-0D46-C455-AD85-E24555D2A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358037</xdr:colOff>
      <xdr:row>36</xdr:row>
      <xdr:rowOff>23014</xdr:rowOff>
    </xdr:from>
    <xdr:to>
      <xdr:col>7</xdr:col>
      <xdr:colOff>435968</xdr:colOff>
      <xdr:row>46</xdr:row>
      <xdr:rowOff>35137</xdr:rowOff>
    </xdr:to>
    <xdr:graphicFrame macro="">
      <xdr:nvGraphicFramePr>
        <xdr:cNvPr id="4" name="Chart 3">
          <a:extLst>
            <a:ext uri="{FF2B5EF4-FFF2-40B4-BE49-F238E27FC236}">
              <a16:creationId xmlns:a16="http://schemas.microsoft.com/office/drawing/2014/main" id="{74A9C222-C2B3-965E-B24A-82C01D131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28014</xdr:colOff>
      <xdr:row>92</xdr:row>
      <xdr:rowOff>1120</xdr:rowOff>
    </xdr:from>
    <xdr:to>
      <xdr:col>8</xdr:col>
      <xdr:colOff>44533</xdr:colOff>
      <xdr:row>103</xdr:row>
      <xdr:rowOff>128868</xdr:rowOff>
    </xdr:to>
    <xdr:graphicFrame macro="">
      <xdr:nvGraphicFramePr>
        <xdr:cNvPr id="2" name="Chart 1">
          <a:extLst>
            <a:ext uri="{FF2B5EF4-FFF2-40B4-BE49-F238E27FC236}">
              <a16:creationId xmlns:a16="http://schemas.microsoft.com/office/drawing/2014/main" id="{0EB50FB9-2A4F-4895-8337-83464465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87EF-B6B3-42C5-9DCC-B773EA6CA378}">
  <dimension ref="G8:M29"/>
  <sheetViews>
    <sheetView view="pageBreakPreview" zoomScale="60" zoomScaleNormal="100" workbookViewId="0">
      <selection activeCell="F6" sqref="F6:N32"/>
    </sheetView>
  </sheetViews>
  <sheetFormatPr defaultRowHeight="14.4" x14ac:dyDescent="0.3"/>
  <sheetData>
    <row r="8" spans="7:13" x14ac:dyDescent="0.3">
      <c r="G8" s="14" t="s">
        <v>42</v>
      </c>
      <c r="H8" s="14"/>
      <c r="I8" s="14"/>
      <c r="J8" s="14"/>
      <c r="K8" s="14"/>
      <c r="L8" s="14"/>
      <c r="M8" s="14"/>
    </row>
    <row r="9" spans="7:13" x14ac:dyDescent="0.3">
      <c r="G9" s="14"/>
      <c r="H9" s="14"/>
      <c r="I9" s="14"/>
      <c r="J9" s="14"/>
      <c r="K9" s="14"/>
      <c r="L9" s="14"/>
      <c r="M9" s="14"/>
    </row>
    <row r="10" spans="7:13" x14ac:dyDescent="0.3">
      <c r="G10" s="14"/>
      <c r="H10" s="14"/>
      <c r="I10" s="14"/>
      <c r="J10" s="14"/>
      <c r="K10" s="14"/>
      <c r="L10" s="14"/>
      <c r="M10" s="14"/>
    </row>
    <row r="15" spans="7:13" x14ac:dyDescent="0.3">
      <c r="G15" s="15" t="s">
        <v>43</v>
      </c>
      <c r="H15" s="15"/>
      <c r="I15" s="15"/>
      <c r="J15" s="15"/>
      <c r="K15" s="15"/>
      <c r="L15" s="15"/>
      <c r="M15" s="15"/>
    </row>
    <row r="16" spans="7:13" x14ac:dyDescent="0.3">
      <c r="G16" s="15"/>
      <c r="H16" s="15"/>
      <c r="I16" s="15"/>
      <c r="J16" s="15"/>
      <c r="K16" s="15"/>
      <c r="L16" s="15"/>
      <c r="M16" s="15"/>
    </row>
    <row r="17" spans="7:13" x14ac:dyDescent="0.3">
      <c r="G17" s="15"/>
      <c r="H17" s="15"/>
      <c r="I17" s="15"/>
      <c r="J17" s="15"/>
      <c r="K17" s="15"/>
      <c r="L17" s="15"/>
      <c r="M17" s="15"/>
    </row>
    <row r="18" spans="7:13" x14ac:dyDescent="0.3">
      <c r="G18" s="15"/>
      <c r="H18" s="15"/>
      <c r="I18" s="15"/>
      <c r="J18" s="15"/>
      <c r="K18" s="15"/>
      <c r="L18" s="15"/>
      <c r="M18" s="15"/>
    </row>
    <row r="19" spans="7:13" x14ac:dyDescent="0.3">
      <c r="G19" s="15"/>
      <c r="H19" s="15"/>
      <c r="I19" s="15"/>
      <c r="J19" s="15"/>
      <c r="K19" s="15"/>
      <c r="L19" s="15"/>
      <c r="M19" s="15"/>
    </row>
    <row r="20" spans="7:13" x14ac:dyDescent="0.3">
      <c r="G20" s="15"/>
      <c r="H20" s="15"/>
      <c r="I20" s="15"/>
      <c r="J20" s="15"/>
      <c r="K20" s="15"/>
      <c r="L20" s="15"/>
      <c r="M20" s="15"/>
    </row>
    <row r="21" spans="7:13" x14ac:dyDescent="0.3">
      <c r="G21" s="15"/>
      <c r="H21" s="15"/>
      <c r="I21" s="15"/>
      <c r="J21" s="15"/>
      <c r="K21" s="15"/>
      <c r="L21" s="15"/>
      <c r="M21" s="15"/>
    </row>
    <row r="22" spans="7:13" x14ac:dyDescent="0.3">
      <c r="G22" s="15"/>
      <c r="H22" s="15"/>
      <c r="I22" s="15"/>
      <c r="J22" s="15"/>
      <c r="K22" s="15"/>
      <c r="L22" s="15"/>
      <c r="M22" s="15"/>
    </row>
    <row r="23" spans="7:13" x14ac:dyDescent="0.3">
      <c r="G23" s="15"/>
      <c r="H23" s="15"/>
      <c r="I23" s="15"/>
      <c r="J23" s="15"/>
      <c r="K23" s="15"/>
      <c r="L23" s="15"/>
      <c r="M23" s="15"/>
    </row>
    <row r="24" spans="7:13" x14ac:dyDescent="0.3">
      <c r="G24" s="15"/>
      <c r="H24" s="15"/>
      <c r="I24" s="15"/>
      <c r="J24" s="15"/>
      <c r="K24" s="15"/>
      <c r="L24" s="15"/>
      <c r="M24" s="15"/>
    </row>
    <row r="25" spans="7:13" x14ac:dyDescent="0.3">
      <c r="G25" s="15"/>
      <c r="H25" s="15"/>
      <c r="I25" s="15"/>
      <c r="J25" s="15"/>
      <c r="K25" s="15"/>
      <c r="L25" s="15"/>
      <c r="M25" s="15"/>
    </row>
    <row r="26" spans="7:13" x14ac:dyDescent="0.3">
      <c r="G26" s="15"/>
      <c r="H26" s="15"/>
      <c r="I26" s="15"/>
      <c r="J26" s="15"/>
      <c r="K26" s="15"/>
      <c r="L26" s="15"/>
      <c r="M26" s="15"/>
    </row>
    <row r="27" spans="7:13" x14ac:dyDescent="0.3">
      <c r="G27" s="15"/>
      <c r="H27" s="15"/>
      <c r="I27" s="15"/>
      <c r="J27" s="15"/>
      <c r="K27" s="15"/>
      <c r="L27" s="15"/>
      <c r="M27" s="15"/>
    </row>
    <row r="29" spans="7:13" x14ac:dyDescent="0.3">
      <c r="G29" s="16" t="s">
        <v>44</v>
      </c>
      <c r="H29" s="16"/>
      <c r="I29" s="16"/>
      <c r="J29" s="16"/>
      <c r="K29" s="16"/>
      <c r="L29" s="16"/>
    </row>
  </sheetData>
  <mergeCells count="3">
    <mergeCell ref="G8:M10"/>
    <mergeCell ref="G15:M27"/>
    <mergeCell ref="G29:L2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24E3A-1902-4F03-AB4F-8C59EA2E897A}">
  <dimension ref="A1:N80"/>
  <sheetViews>
    <sheetView view="pageBreakPreview" topLeftCell="A31" zoomScale="60" zoomScaleNormal="69" workbookViewId="0">
      <selection activeCell="J14" sqref="F8:J14"/>
    </sheetView>
  </sheetViews>
  <sheetFormatPr defaultRowHeight="14.4" x14ac:dyDescent="0.3"/>
  <cols>
    <col min="6" max="6" width="12.44140625" bestFit="1" customWidth="1"/>
    <col min="7" max="7" width="17.109375" bestFit="1" customWidth="1"/>
    <col min="8" max="8" width="19.6640625" bestFit="1" customWidth="1"/>
    <col min="9" max="9" width="18.6640625" bestFit="1" customWidth="1"/>
    <col min="10" max="10" width="15.44140625" bestFit="1" customWidth="1"/>
    <col min="11" max="11" width="5" bestFit="1" customWidth="1"/>
    <col min="12" max="12" width="12.21875" bestFit="1" customWidth="1"/>
    <col min="13" max="13" width="11.109375" bestFit="1" customWidth="1"/>
    <col min="14" max="14" width="13.77734375" bestFit="1" customWidth="1"/>
    <col min="15" max="15" width="11.109375" bestFit="1" customWidth="1"/>
  </cols>
  <sheetData>
    <row r="1" spans="1:14" x14ac:dyDescent="0.3">
      <c r="A1" t="s">
        <v>0</v>
      </c>
    </row>
    <row r="4" spans="1:14" x14ac:dyDescent="0.3">
      <c r="F4" s="17" t="s">
        <v>45</v>
      </c>
      <c r="G4" s="17"/>
      <c r="H4" s="19"/>
      <c r="I4" s="19"/>
      <c r="J4" s="19"/>
      <c r="K4" s="19"/>
      <c r="L4" s="19"/>
      <c r="M4" s="19"/>
      <c r="N4" s="19"/>
    </row>
    <row r="5" spans="1:14" x14ac:dyDescent="0.3">
      <c r="F5" s="19"/>
      <c r="G5" s="19"/>
      <c r="H5" s="19"/>
      <c r="I5" s="19"/>
      <c r="J5" s="19"/>
      <c r="K5" s="19"/>
      <c r="L5" s="19"/>
      <c r="M5" s="19"/>
      <c r="N5" s="19"/>
    </row>
    <row r="8" spans="1:14" x14ac:dyDescent="0.3">
      <c r="F8" s="7" t="s">
        <v>1</v>
      </c>
      <c r="G8" s="7" t="s">
        <v>5</v>
      </c>
      <c r="H8" s="7" t="s">
        <v>6</v>
      </c>
      <c r="I8" s="7" t="s">
        <v>7</v>
      </c>
      <c r="J8" s="7" t="s">
        <v>8</v>
      </c>
    </row>
    <row r="9" spans="1:14" x14ac:dyDescent="0.3">
      <c r="F9" s="7">
        <v>2020</v>
      </c>
      <c r="G9" s="6">
        <v>39783</v>
      </c>
      <c r="H9" s="6">
        <v>20153</v>
      </c>
      <c r="I9" s="6">
        <f>11924</f>
        <v>11924</v>
      </c>
      <c r="J9" s="6">
        <v>8229</v>
      </c>
    </row>
    <row r="10" spans="1:14" x14ac:dyDescent="0.3">
      <c r="F10" s="7">
        <v>2021</v>
      </c>
      <c r="G10" s="6">
        <v>47028</v>
      </c>
      <c r="H10" s="6">
        <v>68740</v>
      </c>
      <c r="I10" s="6">
        <f>21066</f>
        <v>21066</v>
      </c>
      <c r="J10" s="6">
        <v>47674</v>
      </c>
    </row>
    <row r="11" spans="1:14" x14ac:dyDescent="0.3">
      <c r="F11" s="7">
        <v>2022</v>
      </c>
      <c r="G11" s="6">
        <v>52446</v>
      </c>
      <c r="H11" s="6">
        <v>70506</v>
      </c>
      <c r="I11" s="6">
        <f>1043+20402</f>
        <v>21445</v>
      </c>
      <c r="J11" s="6">
        <v>49061</v>
      </c>
    </row>
    <row r="12" spans="1:14" x14ac:dyDescent="0.3">
      <c r="F12" s="7">
        <v>2023</v>
      </c>
      <c r="G12" s="9">
        <v>60580</v>
      </c>
      <c r="H12" s="9">
        <v>73077</v>
      </c>
      <c r="I12" s="9">
        <f>1219+21554</f>
        <v>22773</v>
      </c>
      <c r="J12" s="9">
        <v>50304</v>
      </c>
    </row>
    <row r="13" spans="1:14" x14ac:dyDescent="0.3">
      <c r="F13" s="7">
        <v>2024</v>
      </c>
      <c r="G13" s="9">
        <v>61896</v>
      </c>
      <c r="H13" s="9">
        <v>78489</v>
      </c>
      <c r="I13" s="9">
        <f>1484+25787</f>
        <v>27271</v>
      </c>
      <c r="J13" s="9">
        <v>51218</v>
      </c>
    </row>
    <row r="14" spans="1:14" x14ac:dyDescent="0.3">
      <c r="F14" s="7">
        <v>2025</v>
      </c>
      <c r="G14" s="9">
        <v>63121</v>
      </c>
      <c r="H14" s="9">
        <v>79863</v>
      </c>
      <c r="I14" s="9">
        <f>1648+28813</f>
        <v>30461</v>
      </c>
      <c r="J14" s="9">
        <v>49402</v>
      </c>
    </row>
    <row r="16" spans="1:14" x14ac:dyDescent="0.3">
      <c r="F16" s="3"/>
      <c r="G16" s="3"/>
      <c r="H16" s="4"/>
      <c r="I16" s="2"/>
    </row>
    <row r="20" spans="6:9" x14ac:dyDescent="0.3">
      <c r="F20" s="3"/>
      <c r="G20" s="3"/>
      <c r="H20" s="4"/>
      <c r="I20" s="2"/>
    </row>
    <row r="21" spans="6:9" x14ac:dyDescent="0.3">
      <c r="F21" s="3"/>
      <c r="G21" s="3"/>
      <c r="H21" s="4"/>
      <c r="I21" s="2"/>
    </row>
    <row r="33" spans="6:8" x14ac:dyDescent="0.3">
      <c r="F33" s="15" t="s">
        <v>9</v>
      </c>
      <c r="G33" s="15"/>
      <c r="H33" s="15"/>
    </row>
    <row r="34" spans="6:8" x14ac:dyDescent="0.3">
      <c r="F34" s="15"/>
      <c r="G34" s="15"/>
      <c r="H34" s="15"/>
    </row>
    <row r="49" spans="6:9" x14ac:dyDescent="0.3">
      <c r="F49" s="17" t="s">
        <v>41</v>
      </c>
      <c r="G49" s="18"/>
    </row>
    <row r="50" spans="6:9" x14ac:dyDescent="0.3">
      <c r="F50" s="18"/>
      <c r="G50" s="18"/>
    </row>
    <row r="51" spans="6:9" x14ac:dyDescent="0.3">
      <c r="F51" s="15" t="s">
        <v>10</v>
      </c>
      <c r="G51" s="15"/>
      <c r="H51" s="15"/>
      <c r="I51" s="15"/>
    </row>
    <row r="52" spans="6:9" x14ac:dyDescent="0.3">
      <c r="F52" s="15"/>
      <c r="G52" s="15"/>
      <c r="H52" s="15"/>
      <c r="I52" s="15"/>
    </row>
    <row r="53" spans="6:9" x14ac:dyDescent="0.3">
      <c r="F53" s="15"/>
      <c r="G53" s="15"/>
      <c r="H53" s="15"/>
      <c r="I53" s="15"/>
    </row>
    <row r="54" spans="6:9" x14ac:dyDescent="0.3">
      <c r="F54" s="15"/>
      <c r="G54" s="15"/>
      <c r="H54" s="15"/>
      <c r="I54" s="15"/>
    </row>
    <row r="55" spans="6:9" x14ac:dyDescent="0.3">
      <c r="F55" s="15"/>
      <c r="G55" s="15"/>
      <c r="H55" s="15"/>
      <c r="I55" s="15"/>
    </row>
    <row r="57" spans="6:9" x14ac:dyDescent="0.3">
      <c r="F57" s="20" t="s">
        <v>11</v>
      </c>
      <c r="G57" s="20"/>
    </row>
    <row r="58" spans="6:9" x14ac:dyDescent="0.3">
      <c r="F58" s="20"/>
      <c r="G58" s="20"/>
    </row>
    <row r="59" spans="6:9" x14ac:dyDescent="0.3">
      <c r="F59" s="7" t="s">
        <v>1</v>
      </c>
      <c r="G59" s="7" t="s">
        <v>6</v>
      </c>
      <c r="H59" s="7" t="s">
        <v>13</v>
      </c>
      <c r="I59" s="7" t="s">
        <v>12</v>
      </c>
    </row>
    <row r="60" spans="6:9" x14ac:dyDescent="0.3">
      <c r="F60" s="7">
        <v>2020</v>
      </c>
      <c r="G60" s="9">
        <v>20153</v>
      </c>
      <c r="H60" s="9">
        <v>511</v>
      </c>
      <c r="I60" s="8">
        <f>H60/G60</f>
        <v>2.5356026398054881E-2</v>
      </c>
    </row>
    <row r="61" spans="6:9" x14ac:dyDescent="0.3">
      <c r="F61" s="7">
        <v>2021</v>
      </c>
      <c r="G61" s="9">
        <v>68740</v>
      </c>
      <c r="H61" s="9">
        <v>45262</v>
      </c>
      <c r="I61" s="8">
        <f>H61/G61</f>
        <v>0.65845213849287165</v>
      </c>
    </row>
    <row r="80" ht="14.4" customHeight="1" x14ac:dyDescent="0.3"/>
  </sheetData>
  <mergeCells count="5">
    <mergeCell ref="F49:G50"/>
    <mergeCell ref="F4:N5"/>
    <mergeCell ref="F33:H34"/>
    <mergeCell ref="F51:I55"/>
    <mergeCell ref="F57:G58"/>
  </mergeCells>
  <pageMargins left="0.25" right="0.25" top="0.75" bottom="0.75" header="0.3" footer="0.3"/>
  <pageSetup paperSize="8" scale="9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E755-B5E5-48B7-BF18-185DC3AA9EED}">
  <dimension ref="E7:J116"/>
  <sheetViews>
    <sheetView tabSelected="1" view="pageBreakPreview" zoomScale="72" zoomScaleNormal="83" zoomScaleSheetLayoutView="72" zoomScalePageLayoutView="64" workbookViewId="0">
      <selection activeCell="E52" sqref="E52:H57"/>
    </sheetView>
  </sheetViews>
  <sheetFormatPr defaultRowHeight="14.4" x14ac:dyDescent="0.3"/>
  <cols>
    <col min="5" max="5" width="13.21875" bestFit="1" customWidth="1"/>
    <col min="6" max="6" width="11.44140625" bestFit="1" customWidth="1"/>
    <col min="7" max="7" width="12.109375" bestFit="1" customWidth="1"/>
    <col min="8" max="8" width="27.21875" bestFit="1" customWidth="1"/>
  </cols>
  <sheetData>
    <row r="7" spans="5:8" x14ac:dyDescent="0.3">
      <c r="E7" s="17" t="s">
        <v>14</v>
      </c>
      <c r="F7" s="18"/>
    </row>
    <row r="8" spans="5:8" x14ac:dyDescent="0.3">
      <c r="E8" s="18"/>
      <c r="F8" s="18"/>
    </row>
    <row r="10" spans="5:8" x14ac:dyDescent="0.3">
      <c r="E10" s="21" t="s">
        <v>20</v>
      </c>
      <c r="F10" s="28"/>
    </row>
    <row r="11" spans="5:8" x14ac:dyDescent="0.3">
      <c r="E11" s="28"/>
      <c r="F11" s="28"/>
    </row>
    <row r="13" spans="5:8" x14ac:dyDescent="0.3">
      <c r="E13" s="7" t="s">
        <v>1</v>
      </c>
      <c r="F13" s="7" t="s">
        <v>19</v>
      </c>
      <c r="G13" s="7" t="s">
        <v>3</v>
      </c>
      <c r="H13" s="7" t="s">
        <v>21</v>
      </c>
    </row>
    <row r="14" spans="5:8" x14ac:dyDescent="0.3">
      <c r="E14" s="10" t="s">
        <v>17</v>
      </c>
      <c r="F14" s="11">
        <v>11924</v>
      </c>
      <c r="G14" s="11">
        <v>8229</v>
      </c>
      <c r="H14" s="7">
        <f>'Financial Data'!I9/'Financial Data'!J9</f>
        <v>1.4490217523392879</v>
      </c>
    </row>
    <row r="15" spans="5:8" x14ac:dyDescent="0.3">
      <c r="E15" s="10" t="s">
        <v>18</v>
      </c>
      <c r="F15" s="11">
        <v>30461</v>
      </c>
      <c r="G15" s="11">
        <v>49402</v>
      </c>
      <c r="H15" s="7">
        <f>'Financial Data'!I14/'Financial Data'!J14</f>
        <v>0.61659446985951982</v>
      </c>
    </row>
    <row r="17" spans="5:8" x14ac:dyDescent="0.3">
      <c r="E17" s="5" t="s">
        <v>15</v>
      </c>
    </row>
    <row r="18" spans="5:8" x14ac:dyDescent="0.3">
      <c r="E18" s="15" t="s">
        <v>16</v>
      </c>
      <c r="F18" s="15"/>
      <c r="G18" s="15"/>
      <c r="H18" s="15"/>
    </row>
    <row r="19" spans="5:8" x14ac:dyDescent="0.3">
      <c r="E19" s="15"/>
      <c r="F19" s="15"/>
      <c r="G19" s="15"/>
      <c r="H19" s="15"/>
    </row>
    <row r="20" spans="5:8" x14ac:dyDescent="0.3">
      <c r="E20" s="15"/>
      <c r="F20" s="15"/>
      <c r="G20" s="15"/>
      <c r="H20" s="15"/>
    </row>
    <row r="21" spans="5:8" x14ac:dyDescent="0.3">
      <c r="E21" s="15"/>
      <c r="F21" s="15"/>
      <c r="G21" s="15"/>
      <c r="H21" s="15"/>
    </row>
    <row r="22" spans="5:8" x14ac:dyDescent="0.3">
      <c r="E22" s="15"/>
      <c r="F22" s="15"/>
      <c r="G22" s="15"/>
      <c r="H22" s="15"/>
    </row>
    <row r="23" spans="5:8" x14ac:dyDescent="0.3">
      <c r="E23" s="15"/>
      <c r="F23" s="15"/>
      <c r="G23" s="15"/>
      <c r="H23" s="15"/>
    </row>
    <row r="24" spans="5:8" x14ac:dyDescent="0.3">
      <c r="E24" s="15"/>
      <c r="F24" s="15"/>
      <c r="G24" s="15"/>
      <c r="H24" s="15"/>
    </row>
    <row r="25" spans="5:8" x14ac:dyDescent="0.3">
      <c r="E25" s="15"/>
      <c r="F25" s="15"/>
      <c r="G25" s="15"/>
      <c r="H25" s="15"/>
    </row>
    <row r="28" spans="5:8" ht="14.4" customHeight="1" x14ac:dyDescent="0.3">
      <c r="E28" s="23" t="s">
        <v>22</v>
      </c>
      <c r="F28" s="23"/>
      <c r="G28" s="23"/>
    </row>
    <row r="29" spans="5:8" ht="14.4" customHeight="1" x14ac:dyDescent="0.3">
      <c r="E29" s="27"/>
      <c r="F29" s="27"/>
      <c r="G29" s="27"/>
    </row>
    <row r="30" spans="5:8" x14ac:dyDescent="0.3">
      <c r="E30" s="7" t="s">
        <v>1</v>
      </c>
      <c r="F30" s="7" t="s">
        <v>2</v>
      </c>
      <c r="G30" s="7" t="s">
        <v>4</v>
      </c>
      <c r="H30" s="24" t="s">
        <v>23</v>
      </c>
    </row>
    <row r="31" spans="5:8" x14ac:dyDescent="0.3">
      <c r="E31" s="7"/>
      <c r="F31" s="7"/>
      <c r="G31" s="7"/>
      <c r="H31" s="24"/>
    </row>
    <row r="32" spans="5:8" x14ac:dyDescent="0.3">
      <c r="E32" s="7" t="s">
        <v>17</v>
      </c>
      <c r="F32" s="9">
        <f>'Financial Data'!H9</f>
        <v>20153</v>
      </c>
      <c r="G32" s="9">
        <f>'Financial Data'!G9</f>
        <v>39783</v>
      </c>
      <c r="H32" s="7">
        <f>G32/F32</f>
        <v>1.974048528755024</v>
      </c>
    </row>
    <row r="33" spans="5:8" x14ac:dyDescent="0.3">
      <c r="E33" s="7" t="s">
        <v>18</v>
      </c>
      <c r="F33" s="9">
        <f>'Financial Data'!H14</f>
        <v>79863</v>
      </c>
      <c r="G33" s="9">
        <f>'Financial Data'!G14</f>
        <v>63121</v>
      </c>
      <c r="H33" s="7">
        <f>G33/F33</f>
        <v>0.79036600177804495</v>
      </c>
    </row>
    <row r="36" spans="5:8" x14ac:dyDescent="0.3">
      <c r="E36" s="25" t="s">
        <v>15</v>
      </c>
      <c r="F36" s="26"/>
    </row>
    <row r="37" spans="5:8" x14ac:dyDescent="0.3">
      <c r="E37" s="15" t="s">
        <v>24</v>
      </c>
      <c r="F37" s="15"/>
      <c r="G37" s="15"/>
      <c r="H37" s="15"/>
    </row>
    <row r="38" spans="5:8" x14ac:dyDescent="0.3">
      <c r="E38" s="15"/>
      <c r="F38" s="15"/>
      <c r="G38" s="15"/>
      <c r="H38" s="15"/>
    </row>
    <row r="39" spans="5:8" x14ac:dyDescent="0.3">
      <c r="E39" s="15"/>
      <c r="F39" s="15"/>
      <c r="G39" s="15"/>
      <c r="H39" s="15"/>
    </row>
    <row r="40" spans="5:8" x14ac:dyDescent="0.3">
      <c r="E40" s="15"/>
      <c r="F40" s="15"/>
      <c r="G40" s="15"/>
      <c r="H40" s="15"/>
    </row>
    <row r="41" spans="5:8" x14ac:dyDescent="0.3">
      <c r="E41" s="15"/>
      <c r="F41" s="15"/>
      <c r="G41" s="15"/>
      <c r="H41" s="15"/>
    </row>
    <row r="43" spans="5:8" x14ac:dyDescent="0.3">
      <c r="E43" s="23" t="s">
        <v>25</v>
      </c>
      <c r="F43" s="19"/>
    </row>
    <row r="44" spans="5:8" x14ac:dyDescent="0.3">
      <c r="E44" s="19"/>
      <c r="F44" s="19"/>
    </row>
    <row r="45" spans="5:8" x14ac:dyDescent="0.3">
      <c r="E45" s="12" t="s">
        <v>1</v>
      </c>
      <c r="F45" s="12" t="s">
        <v>2</v>
      </c>
      <c r="G45" s="12" t="s">
        <v>26</v>
      </c>
      <c r="H45" s="24" t="s">
        <v>27</v>
      </c>
    </row>
    <row r="46" spans="5:8" x14ac:dyDescent="0.3">
      <c r="E46" s="13"/>
      <c r="F46" s="13"/>
      <c r="G46" s="13"/>
      <c r="H46" s="24"/>
    </row>
    <row r="47" spans="5:8" x14ac:dyDescent="0.3">
      <c r="E47" s="7" t="s">
        <v>17</v>
      </c>
      <c r="F47" s="9">
        <f>'Financial Data'!H9</f>
        <v>20153</v>
      </c>
      <c r="G47" s="9">
        <f>'Financial Data'!I9</f>
        <v>11924</v>
      </c>
      <c r="H47" s="7">
        <f>G47/F47</f>
        <v>0.59167369622388721</v>
      </c>
    </row>
    <row r="48" spans="5:8" x14ac:dyDescent="0.3">
      <c r="E48" s="7" t="s">
        <v>18</v>
      </c>
      <c r="F48" s="9">
        <f>'Financial Data'!H14</f>
        <v>79863</v>
      </c>
      <c r="G48" s="9">
        <f>'Financial Data'!I14</f>
        <v>30461</v>
      </c>
      <c r="H48" s="7">
        <f>G48/F48</f>
        <v>0.38141567434231122</v>
      </c>
    </row>
    <row r="51" spans="5:8" x14ac:dyDescent="0.3">
      <c r="E51" s="31" t="s">
        <v>15</v>
      </c>
      <c r="F51" s="32"/>
    </row>
    <row r="52" spans="5:8" x14ac:dyDescent="0.3">
      <c r="E52" s="15" t="s">
        <v>28</v>
      </c>
      <c r="F52" s="15"/>
      <c r="G52" s="15"/>
      <c r="H52" s="15"/>
    </row>
    <row r="53" spans="5:8" x14ac:dyDescent="0.3">
      <c r="E53" s="15"/>
      <c r="F53" s="15"/>
      <c r="G53" s="15"/>
      <c r="H53" s="15"/>
    </row>
    <row r="54" spans="5:8" x14ac:dyDescent="0.3">
      <c r="E54" s="15"/>
      <c r="F54" s="15"/>
      <c r="G54" s="15"/>
      <c r="H54" s="15"/>
    </row>
    <row r="55" spans="5:8" x14ac:dyDescent="0.3">
      <c r="E55" s="15"/>
      <c r="F55" s="15"/>
      <c r="G55" s="15"/>
      <c r="H55" s="15"/>
    </row>
    <row r="56" spans="5:8" x14ac:dyDescent="0.3">
      <c r="E56" s="15"/>
      <c r="F56" s="15"/>
      <c r="G56" s="15"/>
      <c r="H56" s="15"/>
    </row>
    <row r="57" spans="5:8" x14ac:dyDescent="0.3">
      <c r="E57" s="15"/>
      <c r="F57" s="15"/>
      <c r="G57" s="15"/>
      <c r="H57" s="15"/>
    </row>
    <row r="58" spans="5:8" x14ac:dyDescent="0.3">
      <c r="E58" s="1"/>
      <c r="F58" s="1"/>
    </row>
    <row r="59" spans="5:8" x14ac:dyDescent="0.3">
      <c r="E59" s="21" t="s">
        <v>29</v>
      </c>
      <c r="F59" s="22"/>
    </row>
    <row r="60" spans="5:8" x14ac:dyDescent="0.3">
      <c r="E60" s="22"/>
      <c r="F60" s="22"/>
    </row>
    <row r="61" spans="5:8" x14ac:dyDescent="0.3">
      <c r="E61" s="12" t="s">
        <v>1</v>
      </c>
      <c r="F61" s="12" t="s">
        <v>2</v>
      </c>
      <c r="G61" s="12" t="s">
        <v>30</v>
      </c>
      <c r="H61" s="24" t="s">
        <v>31</v>
      </c>
    </row>
    <row r="62" spans="5:8" x14ac:dyDescent="0.3">
      <c r="E62" s="13"/>
      <c r="F62" s="13"/>
      <c r="G62" s="13"/>
      <c r="H62" s="24"/>
    </row>
    <row r="63" spans="5:8" x14ac:dyDescent="0.3">
      <c r="E63" s="7" t="s">
        <v>17</v>
      </c>
      <c r="F63" s="9">
        <f>'Financial Data'!H9</f>
        <v>20153</v>
      </c>
      <c r="G63" s="9">
        <f>'Financial Data'!J9</f>
        <v>8229</v>
      </c>
      <c r="H63" s="7">
        <f>G63/F63</f>
        <v>0.40832630377611273</v>
      </c>
    </row>
    <row r="64" spans="5:8" x14ac:dyDescent="0.3">
      <c r="E64" s="7" t="s">
        <v>18</v>
      </c>
      <c r="F64" s="9">
        <f>'Financial Data'!H14</f>
        <v>79863</v>
      </c>
      <c r="G64" s="9">
        <f>'Financial Data'!J14</f>
        <v>49402</v>
      </c>
      <c r="H64" s="7">
        <f>G64/F64</f>
        <v>0.61858432565768884</v>
      </c>
    </row>
    <row r="67" spans="5:8" x14ac:dyDescent="0.3">
      <c r="E67" s="31" t="s">
        <v>15</v>
      </c>
      <c r="F67" s="32"/>
    </row>
    <row r="68" spans="5:8" x14ac:dyDescent="0.3">
      <c r="E68" s="15" t="s">
        <v>32</v>
      </c>
      <c r="F68" s="15"/>
      <c r="G68" s="15"/>
      <c r="H68" s="15"/>
    </row>
    <row r="69" spans="5:8" x14ac:dyDescent="0.3">
      <c r="E69" s="15"/>
      <c r="F69" s="15"/>
      <c r="G69" s="15"/>
      <c r="H69" s="15"/>
    </row>
    <row r="70" spans="5:8" x14ac:dyDescent="0.3">
      <c r="E70" s="15"/>
      <c r="F70" s="15"/>
      <c r="G70" s="15"/>
      <c r="H70" s="15"/>
    </row>
    <row r="71" spans="5:8" x14ac:dyDescent="0.3">
      <c r="E71" s="15"/>
      <c r="F71" s="15"/>
      <c r="G71" s="15"/>
      <c r="H71" s="15"/>
    </row>
    <row r="72" spans="5:8" x14ac:dyDescent="0.3">
      <c r="E72" s="15"/>
      <c r="F72" s="15"/>
      <c r="G72" s="15"/>
      <c r="H72" s="15"/>
    </row>
    <row r="73" spans="5:8" x14ac:dyDescent="0.3">
      <c r="E73" s="15"/>
      <c r="F73" s="15"/>
      <c r="G73" s="15"/>
      <c r="H73" s="15"/>
    </row>
    <row r="75" spans="5:8" ht="14.4" customHeight="1" x14ac:dyDescent="0.3">
      <c r="E75" s="23" t="s">
        <v>33</v>
      </c>
      <c r="F75" s="23"/>
      <c r="G75" s="23"/>
    </row>
    <row r="76" spans="5:8" x14ac:dyDescent="0.3">
      <c r="E76" s="27"/>
      <c r="F76" s="27"/>
      <c r="G76" s="27"/>
    </row>
    <row r="77" spans="5:8" x14ac:dyDescent="0.3">
      <c r="E77" s="7" t="s">
        <v>1</v>
      </c>
      <c r="F77" s="7" t="s">
        <v>34</v>
      </c>
      <c r="G77" s="7" t="s">
        <v>35</v>
      </c>
    </row>
    <row r="78" spans="5:8" x14ac:dyDescent="0.3">
      <c r="E78" s="7">
        <v>2020</v>
      </c>
      <c r="F78" s="9">
        <f>'Financial Data'!G9</f>
        <v>39783</v>
      </c>
      <c r="G78" s="8" t="s">
        <v>36</v>
      </c>
    </row>
    <row r="79" spans="5:8" x14ac:dyDescent="0.3">
      <c r="E79" s="7">
        <v>2021</v>
      </c>
      <c r="F79" s="9">
        <f>'Financial Data'!G10</f>
        <v>47028</v>
      </c>
      <c r="G79" s="8">
        <f>(F79-F78)/F78</f>
        <v>0.18211296282331649</v>
      </c>
    </row>
    <row r="80" spans="5:8" x14ac:dyDescent="0.3">
      <c r="E80" s="7">
        <v>2022</v>
      </c>
      <c r="F80" s="9">
        <f>'Financial Data'!G11</f>
        <v>52446</v>
      </c>
      <c r="G80" s="8">
        <f>(F80-F79)/F79</f>
        <v>0.11520796121459556</v>
      </c>
    </row>
    <row r="81" spans="5:8" x14ac:dyDescent="0.3">
      <c r="E81" s="7">
        <v>2023</v>
      </c>
      <c r="F81" s="9">
        <f>'Financial Data'!G12</f>
        <v>60580</v>
      </c>
      <c r="G81" s="8">
        <f>(F81-F80)/F80</f>
        <v>0.15509285741524617</v>
      </c>
    </row>
    <row r="82" spans="5:8" x14ac:dyDescent="0.3">
      <c r="E82" s="7">
        <v>2024</v>
      </c>
      <c r="F82" s="9">
        <f>'Financial Data'!G13</f>
        <v>61896</v>
      </c>
      <c r="G82" s="8">
        <f>(F82-F81)/F81</f>
        <v>2.1723341036645756E-2</v>
      </c>
    </row>
    <row r="83" spans="5:8" x14ac:dyDescent="0.3">
      <c r="E83" s="7">
        <v>2025</v>
      </c>
      <c r="F83" s="9">
        <f>'Financial Data'!G14</f>
        <v>63121</v>
      </c>
      <c r="G83" s="8">
        <f>(F83-F82)/F82</f>
        <v>1.9791262763344964E-2</v>
      </c>
    </row>
    <row r="84" spans="5:8" x14ac:dyDescent="0.3">
      <c r="E84" s="29" t="s">
        <v>38</v>
      </c>
      <c r="F84" s="30"/>
      <c r="G84" s="8">
        <f>(F83-F78)/F78</f>
        <v>0.58663248121056732</v>
      </c>
    </row>
    <row r="86" spans="5:8" x14ac:dyDescent="0.3">
      <c r="E86" s="31" t="s">
        <v>15</v>
      </c>
      <c r="F86" s="32"/>
    </row>
    <row r="87" spans="5:8" x14ac:dyDescent="0.3">
      <c r="E87" s="15" t="s">
        <v>37</v>
      </c>
      <c r="F87" s="15"/>
      <c r="G87" s="15"/>
      <c r="H87" s="15"/>
    </row>
    <row r="88" spans="5:8" x14ac:dyDescent="0.3">
      <c r="E88" s="15"/>
      <c r="F88" s="15"/>
      <c r="G88" s="15"/>
      <c r="H88" s="15"/>
    </row>
    <row r="89" spans="5:8" x14ac:dyDescent="0.3">
      <c r="E89" s="15"/>
      <c r="F89" s="15"/>
      <c r="G89" s="15"/>
      <c r="H89" s="15"/>
    </row>
    <row r="90" spans="5:8" x14ac:dyDescent="0.3">
      <c r="E90" s="15"/>
      <c r="F90" s="15"/>
      <c r="G90" s="15"/>
      <c r="H90" s="15"/>
    </row>
    <row r="91" spans="5:8" x14ac:dyDescent="0.3">
      <c r="E91" s="15"/>
      <c r="F91" s="15"/>
      <c r="G91" s="15"/>
      <c r="H91" s="15"/>
    </row>
    <row r="108" spans="5:10" x14ac:dyDescent="0.3">
      <c r="E108" s="17" t="s">
        <v>39</v>
      </c>
      <c r="F108" s="18"/>
      <c r="G108" s="18"/>
    </row>
    <row r="109" spans="5:10" x14ac:dyDescent="0.3">
      <c r="E109" s="18"/>
      <c r="F109" s="18"/>
      <c r="G109" s="18"/>
    </row>
    <row r="110" spans="5:10" x14ac:dyDescent="0.3">
      <c r="E110" s="15" t="s">
        <v>40</v>
      </c>
      <c r="F110" s="15"/>
      <c r="G110" s="15"/>
      <c r="H110" s="15"/>
      <c r="I110" s="15"/>
      <c r="J110" s="15"/>
    </row>
    <row r="111" spans="5:10" x14ac:dyDescent="0.3">
      <c r="E111" s="15"/>
      <c r="F111" s="15"/>
      <c r="G111" s="15"/>
      <c r="H111" s="15"/>
      <c r="I111" s="15"/>
      <c r="J111" s="15"/>
    </row>
    <row r="112" spans="5:10" x14ac:dyDescent="0.3">
      <c r="E112" s="15"/>
      <c r="F112" s="15"/>
      <c r="G112" s="15"/>
      <c r="H112" s="15"/>
      <c r="I112" s="15"/>
      <c r="J112" s="15"/>
    </row>
    <row r="113" spans="5:10" x14ac:dyDescent="0.3">
      <c r="E113" s="15"/>
      <c r="F113" s="15"/>
      <c r="G113" s="15"/>
      <c r="H113" s="15"/>
      <c r="I113" s="15"/>
      <c r="J113" s="15"/>
    </row>
    <row r="114" spans="5:10" x14ac:dyDescent="0.3">
      <c r="E114" s="15"/>
      <c r="F114" s="15"/>
      <c r="G114" s="15"/>
      <c r="H114" s="15"/>
      <c r="I114" s="15"/>
      <c r="J114" s="15"/>
    </row>
    <row r="115" spans="5:10" x14ac:dyDescent="0.3">
      <c r="E115" s="15"/>
      <c r="F115" s="15"/>
      <c r="G115" s="15"/>
      <c r="H115" s="15"/>
      <c r="I115" s="15"/>
      <c r="J115" s="15"/>
    </row>
    <row r="116" spans="5:10" x14ac:dyDescent="0.3">
      <c r="E116" s="15"/>
      <c r="F116" s="15"/>
      <c r="G116" s="15"/>
      <c r="H116" s="15"/>
      <c r="I116" s="15"/>
      <c r="J116" s="15"/>
    </row>
  </sheetData>
  <mergeCells count="21">
    <mergeCell ref="E28:G29"/>
    <mergeCell ref="E75:G76"/>
    <mergeCell ref="E108:G109"/>
    <mergeCell ref="E110:J116"/>
    <mergeCell ref="E7:F8"/>
    <mergeCell ref="E18:H25"/>
    <mergeCell ref="E10:F11"/>
    <mergeCell ref="E87:H91"/>
    <mergeCell ref="E84:F84"/>
    <mergeCell ref="H61:H62"/>
    <mergeCell ref="E67:F67"/>
    <mergeCell ref="E68:H73"/>
    <mergeCell ref="E86:F86"/>
    <mergeCell ref="H45:H46"/>
    <mergeCell ref="E51:F51"/>
    <mergeCell ref="E52:H57"/>
    <mergeCell ref="E59:F60"/>
    <mergeCell ref="E43:F44"/>
    <mergeCell ref="H30:H31"/>
    <mergeCell ref="E36:F36"/>
    <mergeCell ref="E37:H41"/>
  </mergeCells>
  <pageMargins left="1" right="1" top="1" bottom="1" header="0.5" footer="0.5"/>
  <pageSetup paperSize="71" scale="84" orientation="portrait" r:id="rId1"/>
  <rowBreaks count="1" manualBreakCount="1">
    <brk id="57" min="3"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Financial Data</vt:lpstr>
      <vt:lpstr>Ratio Analysis</vt:lpstr>
      <vt:lpstr>'Financial Data'!Print_Area</vt:lpstr>
      <vt:lpstr>'Ratio Analysis'!Print_Area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 Kumar</dc:creator>
  <cp:lastModifiedBy>kqnchans3028@gmail.com</cp:lastModifiedBy>
  <cp:lastPrinted>2026-03-09T15:20:25Z</cp:lastPrinted>
  <dcterms:created xsi:type="dcterms:W3CDTF">2026-03-05T06:25:59Z</dcterms:created>
  <dcterms:modified xsi:type="dcterms:W3CDTF">2026-03-09T15:20:34Z</dcterms:modified>
</cp:coreProperties>
</file>